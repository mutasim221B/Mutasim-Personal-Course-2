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sim/Mutasim-Personal-Course-2/Resources/"/>
    </mc:Choice>
  </mc:AlternateContent>
  <xr:revisionPtr revIDLastSave="0" documentId="13_ncr:1_{514C7A68-D707-5D44-8449-123183ADE77B}" xr6:coauthVersionLast="47" xr6:coauthVersionMax="47" xr10:uidLastSave="{00000000-0000-0000-0000-000000000000}"/>
  <bookViews>
    <workbookView xWindow="0" yWindow="660" windowWidth="34560" windowHeight="21680" xr2:uid="{987B80B7-134B-4E9D-9DE3-ABFCBE4E1804}"/>
  </bookViews>
  <sheets>
    <sheet name="Example1" sheetId="1" r:id="rId1"/>
    <sheet name="Example2" sheetId="5" r:id="rId2"/>
    <sheet name="Example3-4" sheetId="3" r:id="rId3"/>
    <sheet name="Exercis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B10" i="5"/>
  <c r="B12" i="5"/>
  <c r="B6" i="5"/>
  <c r="B16" i="5"/>
  <c r="B18" i="5"/>
  <c r="B20" i="5"/>
  <c r="B15" i="2"/>
  <c r="B17" i="2"/>
  <c r="B19" i="2"/>
  <c r="B7" i="2"/>
  <c r="B9" i="2"/>
  <c r="B11" i="2"/>
  <c r="B23" i="1"/>
  <c r="B25" i="1"/>
  <c r="B27" i="1"/>
  <c r="B17" i="1"/>
  <c r="B19" i="1"/>
  <c r="B13" i="1"/>
</calcChain>
</file>

<file path=xl/sharedStrings.xml><?xml version="1.0" encoding="utf-8"?>
<sst xmlns="http://schemas.openxmlformats.org/spreadsheetml/2006/main" count="71" uniqueCount="51">
  <si>
    <t>mean</t>
  </si>
  <si>
    <t>st. dev.</t>
  </si>
  <si>
    <t>Ex 1a</t>
  </si>
  <si>
    <t>Ex 1b</t>
  </si>
  <si>
    <t>Ex 1c</t>
  </si>
  <si>
    <t>P(x&lt;73), area to the left of larger</t>
  </si>
  <si>
    <t>P(x&lt;67), area to the left of the smaller</t>
  </si>
  <si>
    <t>P(67&lt;x&lt;73), area b/t 2 values ="larger" - "smaller"</t>
  </si>
  <si>
    <t>P(z&lt;1), area to the left of the larger value</t>
  </si>
  <si>
    <t>P(z&lt;-1), area to the left of the smaller value</t>
  </si>
  <si>
    <t>P(-1&lt;z&lt;1), area b/t 2 values = "larger" - "smaller"</t>
  </si>
  <si>
    <t>Step 1:</t>
  </si>
  <si>
    <t>Step 2:</t>
  </si>
  <si>
    <t>Step 3:</t>
  </si>
  <si>
    <t>Determining Values</t>
  </si>
  <si>
    <t>You</t>
  </si>
  <si>
    <t>Your Friend</t>
  </si>
  <si>
    <t>Slide 8</t>
  </si>
  <si>
    <t>Honda Civic</t>
  </si>
  <si>
    <t>Cheeseburger</t>
  </si>
  <si>
    <t>Example 1</t>
  </si>
  <si>
    <t>P(z&lt;-0.77), area to the left of -0.77</t>
  </si>
  <si>
    <t>P(z&gt;-0.77), area to the right of -0.77</t>
  </si>
  <si>
    <t>P(-1.05&lt;z&lt;2.41), area b/t 2 values = "larger" - "smaller"</t>
  </si>
  <si>
    <t>P(z&lt;2.41), area less than larger value</t>
  </si>
  <si>
    <t>P(z&lt;-1.05), area less than the smaller value</t>
  </si>
  <si>
    <t>Finding probabilities given z-scores</t>
  </si>
  <si>
    <t>Example 2</t>
  </si>
  <si>
    <t>Exercise</t>
  </si>
  <si>
    <t>A</t>
  </si>
  <si>
    <t>B</t>
  </si>
  <si>
    <t>Transforming Normal Distribution into a Standard Normal Distribution</t>
  </si>
  <si>
    <t>P(x&lt;3800), area to the left of the smaller</t>
  </si>
  <si>
    <t>P(x&lt;4170), area to the left of larger</t>
  </si>
  <si>
    <t>P(3800&lt;x&lt;4170), area b/t 2 values ="larger" - "smaller"</t>
  </si>
  <si>
    <t>c</t>
  </si>
  <si>
    <t>a</t>
  </si>
  <si>
    <t>b</t>
  </si>
  <si>
    <t>P(x&lt;3800), area to the left of larger</t>
  </si>
  <si>
    <t>P(x&gt;4170), area to the right</t>
  </si>
  <si>
    <t>P(x&lt;4170), area to the left</t>
  </si>
  <si>
    <t>Example 3-4</t>
  </si>
  <si>
    <t>Compare Relative Unusualness</t>
  </si>
  <si>
    <r>
      <rPr>
        <b/>
        <sz val="11"/>
        <color theme="1"/>
        <rFont val="Aptos Narrow"/>
        <scheme val="minor"/>
      </rPr>
      <t>TRUE=1</t>
    </r>
    <r>
      <rPr>
        <sz val="11"/>
        <color theme="1"/>
        <rFont val="Aptos Narrow"/>
        <scheme val="minor"/>
      </rPr>
      <t xml:space="preserve"> - Area to the left</t>
    </r>
  </si>
  <si>
    <r>
      <rPr>
        <b/>
        <sz val="11"/>
        <color theme="1"/>
        <rFont val="Aptos Narrow"/>
        <scheme val="minor"/>
      </rPr>
      <t>FLASE=0</t>
    </r>
    <r>
      <rPr>
        <sz val="11"/>
        <color theme="1"/>
        <rFont val="Aptos Narrow"/>
        <scheme val="minor"/>
      </rPr>
      <t xml:space="preserve"> - Height of the curve</t>
    </r>
  </si>
  <si>
    <r>
      <rPr>
        <b/>
        <sz val="11"/>
        <color theme="1"/>
        <rFont val="Aptos Narrow"/>
        <scheme val="minor"/>
      </rPr>
      <t>Excel Syntax</t>
    </r>
    <r>
      <rPr>
        <sz val="11"/>
        <color theme="1"/>
        <rFont val="Aptos Narrow"/>
        <family val="2"/>
        <scheme val="minor"/>
      </rPr>
      <t>: NORM.DIST(x, mean, standard_dev, cumulative)</t>
    </r>
  </si>
  <si>
    <t>increased 2 st. dev's</t>
  </si>
  <si>
    <t>increased 1.25 st. dev's</t>
  </si>
  <si>
    <t>p1</t>
  </si>
  <si>
    <t>p2</t>
  </si>
  <si>
    <t>p2-p1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</si>
</sst>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4" fillId="0" borderId="0" xfId="1" applyFill="1"/>
    <xf numFmtId="0" fontId="5" fillId="3" borderId="0" xfId="0" applyFont="1" applyFill="1"/>
    <xf numFmtId="0" fontId="5" fillId="3" borderId="0" xfId="1" applyFont="1" applyFill="1"/>
    <xf numFmtId="0" fontId="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7CB1-D78B-4E38-9553-39E7696DCF28}">
  <dimension ref="A1:B27"/>
  <sheetViews>
    <sheetView tabSelected="1" zoomScale="130" zoomScaleNormal="130" workbookViewId="0">
      <selection activeCell="A23" sqref="A23"/>
    </sheetView>
  </sheetViews>
  <sheetFormatPr baseColWidth="10" defaultColWidth="8.83203125" defaultRowHeight="15" x14ac:dyDescent="0.2"/>
  <sheetData>
    <row r="1" spans="1:2" x14ac:dyDescent="0.2">
      <c r="A1" s="5" t="s">
        <v>20</v>
      </c>
    </row>
    <row r="2" spans="1:2" x14ac:dyDescent="0.2">
      <c r="A2" s="1" t="s">
        <v>26</v>
      </c>
    </row>
    <row r="3" spans="1:2" x14ac:dyDescent="0.2">
      <c r="A3" t="s">
        <v>0</v>
      </c>
      <c r="B3">
        <v>0</v>
      </c>
    </row>
    <row r="4" spans="1:2" x14ac:dyDescent="0.2">
      <c r="A4" t="s">
        <v>1</v>
      </c>
      <c r="B4">
        <v>1</v>
      </c>
    </row>
    <row r="7" spans="1:2" x14ac:dyDescent="0.2">
      <c r="A7" s="11" t="s">
        <v>45</v>
      </c>
    </row>
    <row r="8" spans="1:2" x14ac:dyDescent="0.2">
      <c r="A8" s="11" t="s">
        <v>43</v>
      </c>
    </row>
    <row r="9" spans="1:2" x14ac:dyDescent="0.2">
      <c r="A9" s="11" t="s">
        <v>44</v>
      </c>
    </row>
    <row r="10" spans="1:2" x14ac:dyDescent="0.2">
      <c r="A10" s="11"/>
    </row>
    <row r="11" spans="1:2" x14ac:dyDescent="0.2">
      <c r="A11" s="1" t="s">
        <v>2</v>
      </c>
    </row>
    <row r="12" spans="1:2" x14ac:dyDescent="0.2">
      <c r="B12" t="s">
        <v>21</v>
      </c>
    </row>
    <row r="13" spans="1:2" x14ac:dyDescent="0.2">
      <c r="B13" s="2">
        <f>_xlfn.NORM.DIST(-0.77,0,1,TRUE)</f>
        <v>0.22064994634264959</v>
      </c>
    </row>
    <row r="15" spans="1:2" x14ac:dyDescent="0.2">
      <c r="A15" s="1" t="s">
        <v>3</v>
      </c>
    </row>
    <row r="16" spans="1:2" x14ac:dyDescent="0.2">
      <c r="A16" s="3" t="s">
        <v>12</v>
      </c>
      <c r="B16" t="s">
        <v>22</v>
      </c>
    </row>
    <row r="17" spans="1:2" x14ac:dyDescent="0.2">
      <c r="B17" s="2">
        <f>1-B19</f>
        <v>0.77935005365735044</v>
      </c>
    </row>
    <row r="18" spans="1:2" x14ac:dyDescent="0.2">
      <c r="A18" s="3" t="s">
        <v>11</v>
      </c>
      <c r="B18" t="s">
        <v>21</v>
      </c>
    </row>
    <row r="19" spans="1:2" x14ac:dyDescent="0.2">
      <c r="B19">
        <f>_xlfn.NORM.DIST(-0.77,0,1,TRUE)</f>
        <v>0.22064994634264959</v>
      </c>
    </row>
    <row r="21" spans="1:2" x14ac:dyDescent="0.2">
      <c r="A21" s="4" t="s">
        <v>4</v>
      </c>
    </row>
    <row r="22" spans="1:2" x14ac:dyDescent="0.2">
      <c r="A22" s="3" t="s">
        <v>13</v>
      </c>
      <c r="B22" t="s">
        <v>23</v>
      </c>
    </row>
    <row r="23" spans="1:2" x14ac:dyDescent="0.2">
      <c r="A23" t="s">
        <v>50</v>
      </c>
      <c r="B23" s="2">
        <f>B25-B27</f>
        <v>0.84516468336337036</v>
      </c>
    </row>
    <row r="24" spans="1:2" x14ac:dyDescent="0.2">
      <c r="A24" s="3" t="s">
        <v>12</v>
      </c>
      <c r="B24" t="s">
        <v>24</v>
      </c>
    </row>
    <row r="25" spans="1:2" x14ac:dyDescent="0.2">
      <c r="A25" t="s">
        <v>49</v>
      </c>
      <c r="B25">
        <f>_xlfn.NORM.DIST(2.41,0,1,1)</f>
        <v>0.99202373973926627</v>
      </c>
    </row>
    <row r="26" spans="1:2" x14ac:dyDescent="0.2">
      <c r="A26" s="3" t="s">
        <v>11</v>
      </c>
      <c r="B26" t="s">
        <v>25</v>
      </c>
    </row>
    <row r="27" spans="1:2" x14ac:dyDescent="0.2">
      <c r="A27" t="s">
        <v>48</v>
      </c>
      <c r="B27">
        <f>_xlfn.NORM.DIST(-1.05,0,1,1)</f>
        <v>0.14685905637589594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279-6700-2646-8058-88C8A3DFB506}">
  <dimension ref="A1:D20"/>
  <sheetViews>
    <sheetView zoomScale="130" zoomScaleNormal="130" workbookViewId="0">
      <selection activeCell="D11" sqref="D11"/>
    </sheetView>
  </sheetViews>
  <sheetFormatPr baseColWidth="10" defaultColWidth="8.83203125" defaultRowHeight="15" x14ac:dyDescent="0.2"/>
  <cols>
    <col min="1" max="1" width="10.33203125" customWidth="1"/>
  </cols>
  <sheetData>
    <row r="1" spans="1:4" x14ac:dyDescent="0.2">
      <c r="A1" s="5" t="s">
        <v>27</v>
      </c>
    </row>
    <row r="2" spans="1:4" x14ac:dyDescent="0.2">
      <c r="A2" s="1" t="s">
        <v>31</v>
      </c>
    </row>
    <row r="3" spans="1:4" x14ac:dyDescent="0.2">
      <c r="A3" s="1"/>
    </row>
    <row r="4" spans="1:4" x14ac:dyDescent="0.2">
      <c r="A4" s="1" t="s">
        <v>36</v>
      </c>
    </row>
    <row r="5" spans="1:4" x14ac:dyDescent="0.2">
      <c r="A5" s="1"/>
      <c r="B5" t="s">
        <v>38</v>
      </c>
    </row>
    <row r="6" spans="1:4" x14ac:dyDescent="0.2">
      <c r="A6" s="1"/>
      <c r="B6" s="2">
        <f>_xlfn.NORM.DIST(3800,3400,500,1)</f>
        <v>0.78814460141660336</v>
      </c>
    </row>
    <row r="7" spans="1:4" x14ac:dyDescent="0.2">
      <c r="A7" s="1"/>
    </row>
    <row r="8" spans="1:4" x14ac:dyDescent="0.2">
      <c r="A8" s="1" t="s">
        <v>37</v>
      </c>
    </row>
    <row r="9" spans="1:4" x14ac:dyDescent="0.2">
      <c r="A9" s="9" t="s">
        <v>12</v>
      </c>
      <c r="B9" t="s">
        <v>39</v>
      </c>
    </row>
    <row r="10" spans="1:4" ht="16" x14ac:dyDescent="0.2">
      <c r="A10" s="8"/>
      <c r="B10" s="2">
        <f>1-B12</f>
        <v>6.1780176711811907E-2</v>
      </c>
      <c r="D10" s="2">
        <f>1-_xlfn.NORM.DIST(4170,3400,500,1)</f>
        <v>6.1780176711811907E-2</v>
      </c>
    </row>
    <row r="11" spans="1:4" x14ac:dyDescent="0.2">
      <c r="A11" s="10" t="s">
        <v>12</v>
      </c>
      <c r="B11" t="s">
        <v>40</v>
      </c>
    </row>
    <row r="12" spans="1:4" x14ac:dyDescent="0.2">
      <c r="A12" s="1"/>
      <c r="B12">
        <f>_xlfn.NORM.DIST(4170,3400,500,1)</f>
        <v>0.93821982328818809</v>
      </c>
    </row>
    <row r="14" spans="1:4" x14ac:dyDescent="0.2">
      <c r="A14" s="1" t="s">
        <v>35</v>
      </c>
    </row>
    <row r="15" spans="1:4" x14ac:dyDescent="0.2">
      <c r="A15" s="3" t="s">
        <v>13</v>
      </c>
      <c r="B15" t="s">
        <v>34</v>
      </c>
    </row>
    <row r="16" spans="1:4" x14ac:dyDescent="0.2">
      <c r="B16" s="2">
        <f>B18-B20</f>
        <v>0.15007522187158473</v>
      </c>
    </row>
    <row r="17" spans="1:2" x14ac:dyDescent="0.2">
      <c r="A17" s="3" t="s">
        <v>12</v>
      </c>
      <c r="B17" t="s">
        <v>33</v>
      </c>
    </row>
    <row r="18" spans="1:2" x14ac:dyDescent="0.2">
      <c r="B18">
        <f>_xlfn.NORM.DIST(4170,3400,500,1)</f>
        <v>0.93821982328818809</v>
      </c>
    </row>
    <row r="19" spans="1:2" x14ac:dyDescent="0.2">
      <c r="A19" s="3" t="s">
        <v>11</v>
      </c>
      <c r="B19" t="s">
        <v>32</v>
      </c>
    </row>
    <row r="20" spans="1:2" x14ac:dyDescent="0.2">
      <c r="B20">
        <f>_xlfn.NORM.DIST(3800,3400,500,1)</f>
        <v>0.78814460141660336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E7D-4A71-4B11-87AD-F9FDFBA985C0}">
  <dimension ref="A1:C13"/>
  <sheetViews>
    <sheetView zoomScale="115" zoomScaleNormal="115" workbookViewId="0">
      <selection activeCell="C14" sqref="C14"/>
    </sheetView>
  </sheetViews>
  <sheetFormatPr baseColWidth="10" defaultColWidth="8.83203125" defaultRowHeight="15" x14ac:dyDescent="0.2"/>
  <cols>
    <col min="1" max="1" width="20" customWidth="1"/>
    <col min="3" max="3" width="21.6640625" customWidth="1"/>
  </cols>
  <sheetData>
    <row r="1" spans="1:3" x14ac:dyDescent="0.2">
      <c r="A1" s="5" t="s">
        <v>41</v>
      </c>
    </row>
    <row r="2" spans="1:3" x14ac:dyDescent="0.2">
      <c r="A2" s="5"/>
    </row>
    <row r="3" spans="1:3" x14ac:dyDescent="0.2">
      <c r="A3" s="1" t="s">
        <v>14</v>
      </c>
    </row>
    <row r="5" spans="1:3" x14ac:dyDescent="0.2">
      <c r="A5" s="3" t="s">
        <v>15</v>
      </c>
      <c r="C5" s="6" t="s">
        <v>16</v>
      </c>
    </row>
    <row r="6" spans="1:3" x14ac:dyDescent="0.2">
      <c r="A6" s="2">
        <v>95</v>
      </c>
      <c r="C6" s="2">
        <v>72.5</v>
      </c>
    </row>
    <row r="8" spans="1:3" x14ac:dyDescent="0.2">
      <c r="A8" s="5" t="s">
        <v>17</v>
      </c>
    </row>
    <row r="9" spans="1:3" x14ac:dyDescent="0.2">
      <c r="A9" s="1" t="s">
        <v>42</v>
      </c>
    </row>
    <row r="11" spans="1:3" x14ac:dyDescent="0.2">
      <c r="A11" s="3" t="s">
        <v>19</v>
      </c>
      <c r="C11" s="6" t="s">
        <v>18</v>
      </c>
    </row>
    <row r="12" spans="1:3" x14ac:dyDescent="0.2">
      <c r="A12" s="2">
        <v>2</v>
      </c>
      <c r="C12" s="2">
        <v>1.25</v>
      </c>
    </row>
    <row r="13" spans="1:3" x14ac:dyDescent="0.2">
      <c r="A13" s="7" t="s">
        <v>46</v>
      </c>
      <c r="C13" s="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7AA0-6767-45E3-A57F-799C20ADDA8D}">
  <dimension ref="A1:B19"/>
  <sheetViews>
    <sheetView zoomScale="130" zoomScaleNormal="130" workbookViewId="0">
      <selection activeCell="G24" sqref="G24"/>
    </sheetView>
  </sheetViews>
  <sheetFormatPr baseColWidth="10" defaultColWidth="8.83203125" defaultRowHeight="15" x14ac:dyDescent="0.2"/>
  <cols>
    <col min="1" max="1" width="10.33203125" customWidth="1"/>
  </cols>
  <sheetData>
    <row r="1" spans="1:2" x14ac:dyDescent="0.2">
      <c r="A1" s="5" t="s">
        <v>28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  <row r="5" spans="1:2" x14ac:dyDescent="0.2">
      <c r="A5" s="1" t="s">
        <v>29</v>
      </c>
    </row>
    <row r="6" spans="1:2" x14ac:dyDescent="0.2">
      <c r="A6" s="3" t="s">
        <v>13</v>
      </c>
      <c r="B6" t="s">
        <v>10</v>
      </c>
    </row>
    <row r="7" spans="1:2" x14ac:dyDescent="0.2">
      <c r="A7" t="s">
        <v>50</v>
      </c>
      <c r="B7" s="2">
        <f>B9-B11</f>
        <v>0.68268949213708607</v>
      </c>
    </row>
    <row r="8" spans="1:2" x14ac:dyDescent="0.2">
      <c r="A8" s="3" t="s">
        <v>12</v>
      </c>
      <c r="B8" t="s">
        <v>8</v>
      </c>
    </row>
    <row r="9" spans="1:2" x14ac:dyDescent="0.2">
      <c r="A9" t="s">
        <v>49</v>
      </c>
      <c r="B9">
        <f>_xlfn.NORM.DIST(1,0,1,1)</f>
        <v>0.84134474606854304</v>
      </c>
    </row>
    <row r="10" spans="1:2" x14ac:dyDescent="0.2">
      <c r="A10" s="3" t="s">
        <v>11</v>
      </c>
      <c r="B10" t="s">
        <v>9</v>
      </c>
    </row>
    <row r="11" spans="1:2" x14ac:dyDescent="0.2">
      <c r="A11" t="s">
        <v>48</v>
      </c>
      <c r="B11">
        <f>_xlfn.NORM.DIST(-1,0,1,1)</f>
        <v>0.15865525393145699</v>
      </c>
    </row>
    <row r="13" spans="1:2" x14ac:dyDescent="0.2">
      <c r="A13" s="1" t="s">
        <v>30</v>
      </c>
    </row>
    <row r="14" spans="1:2" x14ac:dyDescent="0.2">
      <c r="A14" s="3" t="s">
        <v>13</v>
      </c>
      <c r="B14" t="s">
        <v>7</v>
      </c>
    </row>
    <row r="15" spans="1:2" x14ac:dyDescent="0.2">
      <c r="A15" t="s">
        <v>50</v>
      </c>
      <c r="B15" s="2">
        <f>B17-B19</f>
        <v>0.68268949213708607</v>
      </c>
    </row>
    <row r="16" spans="1:2" x14ac:dyDescent="0.2">
      <c r="A16" s="3" t="s">
        <v>12</v>
      </c>
      <c r="B16" t="s">
        <v>5</v>
      </c>
    </row>
    <row r="17" spans="1:2" x14ac:dyDescent="0.2">
      <c r="A17" t="s">
        <v>49</v>
      </c>
      <c r="B17">
        <f>_xlfn.NORM.DIST(73,70,3,1)</f>
        <v>0.84134474606854304</v>
      </c>
    </row>
    <row r="18" spans="1:2" x14ac:dyDescent="0.2">
      <c r="A18" s="3" t="s">
        <v>11</v>
      </c>
      <c r="B18" t="s">
        <v>6</v>
      </c>
    </row>
    <row r="19" spans="1:2" x14ac:dyDescent="0.2">
      <c r="A19" t="s">
        <v>48</v>
      </c>
      <c r="B19">
        <f>_xlfn.NORM.DIST(67,70,3,1)</f>
        <v>0.15865525393145699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Example1</vt:lpstr>
      <vt:lpstr>Example2</vt:lpstr>
      <vt:lpstr>Example3-4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Balena</dc:creator>
  <cp:lastModifiedBy>Md Mutasim Billah</cp:lastModifiedBy>
  <dcterms:created xsi:type="dcterms:W3CDTF">2025-10-09T19:02:53Z</dcterms:created>
  <dcterms:modified xsi:type="dcterms:W3CDTF">2026-02-25T13:02:59Z</dcterms:modified>
</cp:coreProperties>
</file>